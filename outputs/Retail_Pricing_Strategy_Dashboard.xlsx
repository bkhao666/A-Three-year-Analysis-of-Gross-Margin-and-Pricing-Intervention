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folio Project\Data Analysis Project November 2025 Youtube\outputs\pricing_strategy\"/>
    </mc:Choice>
  </mc:AlternateContent>
  <xr:revisionPtr revIDLastSave="0" documentId="13_ncr:1_{93672D05-6EA6-405A-BC0F-5B9510C2C597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Dashboard" sheetId="1" r:id="rId1"/>
    <sheet name="Pricing 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54" i="1"/>
  <c r="C65" i="1"/>
  <c r="B52" i="1"/>
  <c r="E52" i="1" s="1"/>
  <c r="B67" i="1"/>
  <c r="E67" i="1" s="1"/>
  <c r="B27" i="1"/>
  <c r="E27" i="1" s="1"/>
  <c r="N20" i="2"/>
  <c r="G20" i="2"/>
  <c r="K20" i="2" s="1"/>
  <c r="F20" i="2"/>
  <c r="E20" i="2"/>
  <c r="D20" i="2"/>
  <c r="N19" i="2"/>
  <c r="G19" i="2"/>
  <c r="K19" i="2" s="1"/>
  <c r="L19" i="2" s="1"/>
  <c r="M19" i="2" s="1"/>
  <c r="P19" i="2" s="1"/>
  <c r="F19" i="2"/>
  <c r="E19" i="2"/>
  <c r="D19" i="2"/>
  <c r="N18" i="2"/>
  <c r="G18" i="2"/>
  <c r="F18" i="2"/>
  <c r="H18" i="2" s="1"/>
  <c r="I18" i="2" s="1"/>
  <c r="E18" i="2"/>
  <c r="D18" i="2"/>
  <c r="N17" i="2"/>
  <c r="G17" i="2"/>
  <c r="K17" i="2" s="1"/>
  <c r="L17" i="2" s="1"/>
  <c r="M17" i="2" s="1"/>
  <c r="P17" i="2" s="1"/>
  <c r="F17" i="2"/>
  <c r="H17" i="2" s="1"/>
  <c r="I17" i="2" s="1"/>
  <c r="E17" i="2"/>
  <c r="D17" i="2"/>
  <c r="N16" i="2"/>
  <c r="G16" i="2"/>
  <c r="F16" i="2"/>
  <c r="H16" i="2" s="1"/>
  <c r="I16" i="2" s="1"/>
  <c r="E16" i="2"/>
  <c r="D16" i="2"/>
  <c r="N15" i="2"/>
  <c r="G15" i="2"/>
  <c r="F15" i="2"/>
  <c r="H15" i="2" s="1"/>
  <c r="I15" i="2" s="1"/>
  <c r="E15" i="2"/>
  <c r="D15" i="2"/>
  <c r="N14" i="2"/>
  <c r="G14" i="2"/>
  <c r="F14" i="2"/>
  <c r="E14" i="2"/>
  <c r="D14" i="2"/>
  <c r="N13" i="2"/>
  <c r="G13" i="2"/>
  <c r="K13" i="2" s="1"/>
  <c r="F13" i="2"/>
  <c r="H13" i="2" s="1"/>
  <c r="I13" i="2" s="1"/>
  <c r="E13" i="2"/>
  <c r="D13" i="2"/>
  <c r="N12" i="2"/>
  <c r="G12" i="2"/>
  <c r="F12" i="2"/>
  <c r="H12" i="2" s="1"/>
  <c r="I12" i="2" s="1"/>
  <c r="E12" i="2"/>
  <c r="D12" i="2"/>
  <c r="N11" i="2"/>
  <c r="G11" i="2"/>
  <c r="F11" i="2"/>
  <c r="H11" i="2" s="1"/>
  <c r="I11" i="2" s="1"/>
  <c r="E11" i="2"/>
  <c r="D11" i="2"/>
  <c r="N10" i="2"/>
  <c r="G10" i="2"/>
  <c r="F10" i="2"/>
  <c r="E10" i="2"/>
  <c r="D10" i="2"/>
  <c r="N9" i="2"/>
  <c r="G9" i="2"/>
  <c r="K9" i="2" s="1"/>
  <c r="F9" i="2"/>
  <c r="H9" i="2" s="1"/>
  <c r="I9" i="2" s="1"/>
  <c r="E9" i="2"/>
  <c r="D9" i="2"/>
  <c r="C71" i="1"/>
  <c r="D70" i="1"/>
  <c r="C70" i="1"/>
  <c r="D69" i="1"/>
  <c r="C69" i="1"/>
  <c r="B69" i="1"/>
  <c r="E69" i="1" s="1"/>
  <c r="D68" i="1"/>
  <c r="C68" i="1"/>
  <c r="D67" i="1"/>
  <c r="C67" i="1"/>
  <c r="C66" i="1"/>
  <c r="D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B57" i="1"/>
  <c r="E57" i="1" s="1"/>
  <c r="D56" i="1"/>
  <c r="C56" i="1"/>
  <c r="B56" i="1"/>
  <c r="E56" i="1" s="1"/>
  <c r="D55" i="1"/>
  <c r="C55" i="1"/>
  <c r="D54" i="1"/>
  <c r="D53" i="1"/>
  <c r="C53" i="1"/>
  <c r="B53" i="1"/>
  <c r="E53" i="1" s="1"/>
  <c r="D52" i="1"/>
  <c r="C52" i="1"/>
  <c r="D51" i="1"/>
  <c r="C51" i="1"/>
  <c r="D50" i="1"/>
  <c r="C50" i="1"/>
  <c r="D49" i="1"/>
  <c r="C49" i="1"/>
  <c r="D48" i="1"/>
  <c r="C48" i="1"/>
  <c r="D47" i="1"/>
  <c r="C47" i="1"/>
  <c r="D38" i="1"/>
  <c r="C38" i="1"/>
  <c r="D37" i="1"/>
  <c r="C37" i="1"/>
  <c r="D36" i="1"/>
  <c r="D29" i="1"/>
  <c r="D28" i="1"/>
  <c r="C28" i="1"/>
  <c r="D27" i="1"/>
  <c r="C27" i="1"/>
  <c r="D26" i="1"/>
  <c r="B19" i="1"/>
  <c r="A6" i="1"/>
  <c r="L20" i="2" l="1"/>
  <c r="M20" i="2" s="1"/>
  <c r="P20" i="2" s="1"/>
  <c r="O20" i="2"/>
  <c r="K11" i="2"/>
  <c r="L11" i="2" s="1"/>
  <c r="M11" i="2" s="1"/>
  <c r="P11" i="2" s="1"/>
  <c r="K14" i="2"/>
  <c r="L14" i="2" s="1"/>
  <c r="M14" i="2" s="1"/>
  <c r="P14" i="2" s="1"/>
  <c r="O14" i="2"/>
  <c r="O19" i="2"/>
  <c r="O17" i="2"/>
  <c r="H20" i="2"/>
  <c r="I20" i="2" s="1"/>
  <c r="K18" i="2"/>
  <c r="L18" i="2" s="1"/>
  <c r="M18" i="2" s="1"/>
  <c r="P18" i="2" s="1"/>
  <c r="K15" i="2"/>
  <c r="O15" i="2" s="1"/>
  <c r="H10" i="2"/>
  <c r="I10" i="2" s="1"/>
  <c r="H19" i="2"/>
  <c r="I19" i="2" s="1"/>
  <c r="B29" i="1"/>
  <c r="B51" i="1"/>
  <c r="E51" i="1" s="1"/>
  <c r="B70" i="1"/>
  <c r="E70" i="1" s="1"/>
  <c r="B62" i="1"/>
  <c r="E62" i="1" s="1"/>
  <c r="H14" i="2"/>
  <c r="I14" i="2" s="1"/>
  <c r="B36" i="1"/>
  <c r="E36" i="1" s="1"/>
  <c r="B17" i="1"/>
  <c r="B25" i="1"/>
  <c r="E25" i="1" s="1"/>
  <c r="B71" i="1"/>
  <c r="B60" i="1"/>
  <c r="E60" i="1" s="1"/>
  <c r="C39" i="1"/>
  <c r="C25" i="1"/>
  <c r="C26" i="1"/>
  <c r="K10" i="2"/>
  <c r="L10" i="2" s="1"/>
  <c r="M10" i="2" s="1"/>
  <c r="P10" i="2" s="1"/>
  <c r="K12" i="2"/>
  <c r="L12" i="2" s="1"/>
  <c r="M12" i="2" s="1"/>
  <c r="P12" i="2" s="1"/>
  <c r="K16" i="2"/>
  <c r="L16" i="2" s="1"/>
  <c r="M16" i="2" s="1"/>
  <c r="P16" i="2" s="1"/>
  <c r="B58" i="1"/>
  <c r="E58" i="1" s="1"/>
  <c r="B55" i="1"/>
  <c r="E55" i="1" s="1"/>
  <c r="B65" i="1"/>
  <c r="E65" i="1" s="1"/>
  <c r="B64" i="1"/>
  <c r="E64" i="1" s="1"/>
  <c r="B66" i="1"/>
  <c r="B59" i="1"/>
  <c r="E59" i="1" s="1"/>
  <c r="B68" i="1"/>
  <c r="E68" i="1" s="1"/>
  <c r="B26" i="1"/>
  <c r="E26" i="1" s="1"/>
  <c r="B38" i="1"/>
  <c r="E38" i="1" s="1"/>
  <c r="O11" i="2"/>
  <c r="B28" i="1"/>
  <c r="E28" i="1" s="1"/>
  <c r="B49" i="1"/>
  <c r="E49" i="1" s="1"/>
  <c r="B48" i="1"/>
  <c r="E48" i="1" s="1"/>
  <c r="B50" i="1"/>
  <c r="E50" i="1" s="1"/>
  <c r="B63" i="1"/>
  <c r="E63" i="1" s="1"/>
  <c r="O9" i="2"/>
  <c r="L9" i="2"/>
  <c r="M9" i="2" s="1"/>
  <c r="O13" i="2"/>
  <c r="L13" i="2"/>
  <c r="M13" i="2" s="1"/>
  <c r="P13" i="2" s="1"/>
  <c r="B47" i="1"/>
  <c r="E47" i="1" s="1"/>
  <c r="B39" i="1"/>
  <c r="B54" i="1"/>
  <c r="E54" i="1" s="1"/>
  <c r="B18" i="1"/>
  <c r="B37" i="1"/>
  <c r="E37" i="1" s="1"/>
  <c r="B61" i="1"/>
  <c r="E61" i="1" s="1"/>
  <c r="O18" i="2"/>
  <c r="C29" i="1"/>
  <c r="D39" i="1"/>
  <c r="D66" i="1"/>
  <c r="C36" i="1"/>
  <c r="D71" i="1"/>
  <c r="D6" i="1"/>
  <c r="L15" i="2" l="1"/>
  <c r="M15" i="2" s="1"/>
  <c r="P15" i="2" s="1"/>
  <c r="O16" i="2"/>
  <c r="O12" i="2"/>
  <c r="G6" i="1"/>
  <c r="D18" i="1"/>
  <c r="E18" i="1" s="1"/>
  <c r="E39" i="1"/>
  <c r="D17" i="1"/>
  <c r="E17" i="1" s="1"/>
  <c r="P9" i="2"/>
  <c r="J6" i="1"/>
  <c r="E29" i="1"/>
  <c r="E71" i="1"/>
  <c r="O10" i="2"/>
  <c r="D19" i="1"/>
  <c r="E66" i="1"/>
  <c r="E19" i="1" l="1"/>
  <c r="C19" i="1"/>
  <c r="C18" i="1"/>
  <c r="C17" i="1"/>
</calcChain>
</file>

<file path=xl/sharedStrings.xml><?xml version="1.0" encoding="utf-8"?>
<sst xmlns="http://schemas.openxmlformats.org/spreadsheetml/2006/main" count="129" uniqueCount="91">
  <si>
    <t>Portfolio pricing and margin dashboard</t>
  </si>
  <si>
    <t>Orders through Nov 30, 2025. Gross margin is gross profit divided by revenue.</t>
  </si>
  <si>
    <t>Q3 2025 revenue</t>
  </si>
  <si>
    <t>Q3 2025 gross margin</t>
  </si>
  <si>
    <t>SKUs below 30%</t>
  </si>
  <si>
    <t>Renegotiate / discontinue</t>
  </si>
  <si>
    <t>Q3 imputed revenue</t>
  </si>
  <si>
    <t>Pricing recommendations</t>
  </si>
  <si>
    <t>Raise prices on 6 SKUs. Required increases range from 1.5% to 6.4%, below the 10% ceiling.</t>
  </si>
  <si>
    <t>Renegotiate or discontinue 6 SKUs. Each needs at least 25.7% pricing or about 12.5% lower unit cost at the capped price.</t>
  </si>
  <si>
    <t>Treat duplicate product IDs as separate SKUs operationally; product-level revenue below combines matching product names for executive reporting.</t>
  </si>
  <si>
    <t>41 missing-revenue orders were calculated as catalog price x quantity (3 in Q3 2025). 24 orders with blank customer IDs were excluded.</t>
  </si>
  <si>
    <t>Year-over-year gross margin (comparable January-November periods)</t>
  </si>
  <si>
    <t>Period</t>
  </si>
  <si>
    <t>Revenue</t>
  </si>
  <si>
    <t>COGS</t>
  </si>
  <si>
    <t>Gross profit</t>
  </si>
  <si>
    <t>Gross margin</t>
  </si>
  <si>
    <t>2023 Jan-Nov</t>
  </si>
  <si>
    <t>2024 Jan-Nov</t>
  </si>
  <si>
    <t>2025 Jan-Nov</t>
  </si>
  <si>
    <t>Revenue by category</t>
  </si>
  <si>
    <t>Category</t>
  </si>
  <si>
    <t>2023</t>
  </si>
  <si>
    <t>2024</t>
  </si>
  <si>
    <t>2025 YTD</t>
  </si>
  <si>
    <t>Total</t>
  </si>
  <si>
    <t>Accessories</t>
  </si>
  <si>
    <t>Consumables</t>
  </si>
  <si>
    <t>Grinders &amp; Brewers</t>
  </si>
  <si>
    <t>Merchandise</t>
  </si>
  <si>
    <t>Subscriptions</t>
  </si>
  <si>
    <t>Revenue by region</t>
  </si>
  <si>
    <t>Region</t>
  </si>
  <si>
    <t>East</t>
  </si>
  <si>
    <t>North</t>
  </si>
  <si>
    <t>South</t>
  </si>
  <si>
    <t>West</t>
  </si>
  <si>
    <t>Revenue by product</t>
  </si>
  <si>
    <t>Product</t>
  </si>
  <si>
    <t>High-Capacity French Press</t>
  </si>
  <si>
    <t>Precision Electric Grinder</t>
  </si>
  <si>
    <t>Automated Drip Brewer</t>
  </si>
  <si>
    <t>Hand Grinder (Travel Size)</t>
  </si>
  <si>
    <t>Pour-Over Starter Kit</t>
  </si>
  <si>
    <t>Bi-Weekly Sampler Box</t>
  </si>
  <si>
    <t>Subscription Renewal Service</t>
  </si>
  <si>
    <t>Espresso Lovers Quarterly Pack</t>
  </si>
  <si>
    <t>Three-Month Gift Subscription</t>
  </si>
  <si>
    <t>Monthly Dark Roast Subscription</t>
  </si>
  <si>
    <t>Airtight Storage Container</t>
  </si>
  <si>
    <t>Branded Ceramic Mug (Large)</t>
  </si>
  <si>
    <t>Decaf Blend (1kg)</t>
  </si>
  <si>
    <t>Insulated Travel Tumbler</t>
  </si>
  <si>
    <t>Gooseneck Electric Kettle</t>
  </si>
  <si>
    <t>Seasonal Blend Light Roast</t>
  </si>
  <si>
    <t>Minimalist Keychain</t>
  </si>
  <si>
    <t>Chemex Filters (100 pack)</t>
  </si>
  <si>
    <t>Refillable Coffee Pods</t>
  </si>
  <si>
    <t>Digital Coffee Scale</t>
  </si>
  <si>
    <t>Cold Brew Concentrate</t>
  </si>
  <si>
    <t>Single-Origin Ethiopian (250g)</t>
  </si>
  <si>
    <t>Daily Grind T-Shirt</t>
  </si>
  <si>
    <t>Espresso Bean Sampler Pack</t>
  </si>
  <si>
    <t>Logo Hoodie (Black)</t>
  </si>
  <si>
    <t>Q3 2025 pricing actions</t>
  </si>
  <si>
    <t>Hard minimum margin and maximum one-step price increase set by management</t>
  </si>
  <si>
    <t>Gross margin minimum</t>
  </si>
  <si>
    <t>Price increase ceiling</t>
  </si>
  <si>
    <t>Product ID</t>
  </si>
  <si>
    <t>Orders</t>
  </si>
  <si>
    <t>Units</t>
  </si>
  <si>
    <t>Current price</t>
  </si>
  <si>
    <t>COGS / unit</t>
  </si>
  <si>
    <t>Minimum target price</t>
  </si>
  <si>
    <t>Required increase</t>
  </si>
  <si>
    <t>Max price at cap</t>
  </si>
  <si>
    <t>Cost reduction needed</t>
  </si>
  <si>
    <t>Recommendation</t>
  </si>
  <si>
    <t>1045</t>
  </si>
  <si>
    <t>1020</t>
  </si>
  <si>
    <t>1017</t>
  </si>
  <si>
    <t>1014</t>
  </si>
  <si>
    <t>1039</t>
  </si>
  <si>
    <t>1042</t>
  </si>
  <si>
    <t>1037</t>
  </si>
  <si>
    <t>1012</t>
  </si>
  <si>
    <t>1041</t>
  </si>
  <si>
    <t>1016</t>
  </si>
  <si>
    <t>1035</t>
  </si>
  <si>
    <t>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</si>
</sst>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\$#,##0.00"/>
    <numFmt numFmtId="166" formatCode="0.0%"/>
    <numFmt numFmtId="167" formatCode="\$0.00"/>
    <numFmt numFmtId="168" formatCode="\$#,##0"/>
  </numFmts>
  <fonts count="12">
    <font>
      <sz val="11"/>
      <name val="Carlito"/>
    </font>
    <font>
      <sz val="9"/>
      <color rgb="FF222222"/>
      <name val="Arial"/>
      <family val="2"/>
    </font>
    <font>
      <b/>
      <sz val="9"/>
      <color rgb="FFFFFFFF"/>
      <name val="Arial"/>
      <family val="2"/>
    </font>
    <font>
      <b/>
      <sz val="16"/>
      <color rgb="FF17365D"/>
      <name val="Arial"/>
      <family val="2"/>
    </font>
    <font>
      <i/>
      <sz val="10"/>
      <color rgb="FF666666"/>
      <name val="Arial"/>
      <family val="2"/>
    </font>
    <font>
      <b/>
      <sz val="11"/>
      <color rgb="FF17365D"/>
      <name val="Arial"/>
      <family val="2"/>
    </font>
    <font>
      <b/>
      <sz val="11"/>
      <color rgb="FF222222"/>
      <name val="Arial"/>
      <family val="2"/>
    </font>
    <font>
      <b/>
      <sz val="9"/>
      <color rgb="FF17365D"/>
      <name val="Arial"/>
      <family val="2"/>
    </font>
    <font>
      <b/>
      <sz val="15"/>
      <color rgb="FF17365D"/>
      <name val="Arial"/>
      <family val="2"/>
    </font>
    <font>
      <b/>
      <sz val="15"/>
      <color rgb="FFC00000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F75B5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0" fillId="0" borderId="4" xfId="0" applyBorder="1"/>
    <xf numFmtId="0" fontId="3" fillId="0" borderId="4" xfId="0" applyFont="1" applyBorder="1"/>
    <xf numFmtId="0" fontId="4" fillId="0" borderId="0" xfId="0" applyFont="1"/>
    <xf numFmtId="0" fontId="5" fillId="3" borderId="0" xfId="0" applyFont="1" applyFill="1"/>
    <xf numFmtId="166" fontId="6" fillId="4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/>
    <xf numFmtId="3" fontId="1" fillId="0" borderId="5" xfId="0" applyNumberFormat="1" applyFont="1" applyBorder="1"/>
    <xf numFmtId="165" fontId="1" fillId="0" borderId="5" xfId="0" applyNumberFormat="1" applyFont="1" applyBorder="1"/>
    <xf numFmtId="166" fontId="1" fillId="0" borderId="5" xfId="0" applyNumberFormat="1" applyFont="1" applyBorder="1"/>
    <xf numFmtId="167" fontId="1" fillId="0" borderId="5" xfId="0" applyNumberFormat="1" applyFont="1" applyBorder="1"/>
    <xf numFmtId="0" fontId="1" fillId="0" borderId="6" xfId="0" applyFont="1" applyBorder="1"/>
    <xf numFmtId="3" fontId="1" fillId="0" borderId="6" xfId="0" applyNumberFormat="1" applyFont="1" applyBorder="1"/>
    <xf numFmtId="165" fontId="1" fillId="0" borderId="6" xfId="0" applyNumberFormat="1" applyFont="1" applyBorder="1"/>
    <xf numFmtId="166" fontId="1" fillId="0" borderId="6" xfId="0" applyNumberFormat="1" applyFont="1" applyBorder="1"/>
    <xf numFmtId="167" fontId="1" fillId="0" borderId="6" xfId="0" applyNumberFormat="1" applyFont="1" applyBorder="1"/>
    <xf numFmtId="0" fontId="1" fillId="0" borderId="7" xfId="0" applyFont="1" applyBorder="1"/>
    <xf numFmtId="3" fontId="1" fillId="0" borderId="7" xfId="0" applyNumberFormat="1" applyFont="1" applyBorder="1"/>
    <xf numFmtId="165" fontId="1" fillId="0" borderId="7" xfId="0" applyNumberFormat="1" applyFont="1" applyBorder="1"/>
    <xf numFmtId="166" fontId="1" fillId="0" borderId="7" xfId="0" applyNumberFormat="1" applyFont="1" applyBorder="1"/>
    <xf numFmtId="167" fontId="1" fillId="0" borderId="7" xfId="0" applyNumberFormat="1" applyFont="1" applyBorder="1"/>
    <xf numFmtId="0" fontId="7" fillId="3" borderId="0" xfId="0" applyFont="1" applyFill="1"/>
    <xf numFmtId="0" fontId="7" fillId="0" borderId="0" xfId="0" applyFont="1"/>
    <xf numFmtId="0" fontId="7" fillId="4" borderId="0" xfId="0" applyFont="1" applyFill="1"/>
    <xf numFmtId="168" fontId="8" fillId="0" borderId="0" xfId="0" applyNumberFormat="1" applyFont="1"/>
    <xf numFmtId="166" fontId="8" fillId="0" borderId="0" xfId="0" applyNumberFormat="1" applyFont="1"/>
    <xf numFmtId="3" fontId="9" fillId="0" borderId="0" xfId="0" applyNumberFormat="1" applyFont="1"/>
    <xf numFmtId="0" fontId="10" fillId="2" borderId="0" xfId="0" applyFont="1" applyFill="1"/>
    <xf numFmtId="0" fontId="11" fillId="0" borderId="0" xfId="0" applyFont="1"/>
    <xf numFmtId="0" fontId="11" fillId="5" borderId="0" xfId="0" applyFont="1" applyFill="1"/>
    <xf numFmtId="0" fontId="11" fillId="4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68" fontId="1" fillId="0" borderId="0" xfId="0" applyNumberFormat="1" applyFont="1"/>
    <xf numFmtId="168" fontId="1" fillId="0" borderId="5" xfId="0" applyNumberFormat="1" applyFont="1" applyBorder="1"/>
    <xf numFmtId="168" fontId="1" fillId="0" borderId="6" xfId="0" applyNumberFormat="1" applyFont="1" applyBorder="1"/>
    <xf numFmtId="168" fontId="1" fillId="0" borderId="7" xfId="0" applyNumberFormat="1" applyFont="1" applyBorder="1"/>
  </cellXfs>
  <cellStyles count="1">
    <cellStyle name="Normal" xfId="0" builtinId="0"/>
  </cellStyles>
  <dxfs count="3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Gross margin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Dashboard!$A$17:$A$19</c:f>
              <c:strCache>
                <c:ptCount val="3"/>
                <c:pt idx="0">
                  <c:v>2023 Jan-Nov</c:v>
                </c:pt>
                <c:pt idx="1">
                  <c:v>2024 Jan-Nov</c:v>
                </c:pt>
                <c:pt idx="2">
                  <c:v>2025 Jan-Nov</c:v>
                </c:pt>
              </c:strCache>
            </c:strRef>
          </c:cat>
          <c:val>
            <c:numRef>
              <c:f>Dashboard!$E$17:$E$19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1-42D1-AAA8-1634D0381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Total 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A7F8E"/>
            </a:solidFill>
          </c:spPr>
          <c:invertIfNegative val="0"/>
          <c:cat>
            <c:strRef>
              <c:f>Dashboard!$A$25:$A$29</c:f>
              <c:strCache>
                <c:ptCount val="5"/>
                <c:pt idx="0">
                  <c:v>Accessories</c:v>
                </c:pt>
                <c:pt idx="1">
                  <c:v>Consumables</c:v>
                </c:pt>
                <c:pt idx="2">
                  <c:v>Grinders &amp; Brewers</c:v>
                </c:pt>
                <c:pt idx="3">
                  <c:v>Merchandise</c:v>
                </c:pt>
                <c:pt idx="4">
                  <c:v>Subscriptions</c:v>
                </c:pt>
              </c:strCache>
            </c:strRef>
          </c:cat>
          <c:val>
            <c:numRef>
              <c:f>Dashboard!$E$25:$E$29</c:f>
              <c:numCache>
                <c:formatCode>\$#,##0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130-B4AC-EA1CA9F4F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Total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AD47"/>
            </a:solidFill>
          </c:spPr>
          <c:invertIfNegative val="0"/>
          <c:cat>
            <c:strRef>
              <c:f>Dashboard!$A$36:$A$39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Dashboard!$E$36:$E$39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5-4A24-A4EF-2BF0A88DA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Top 10 products by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F75B5"/>
            </a:solidFill>
          </c:spPr>
          <c:invertIfNegative val="0"/>
          <c:cat>
            <c:strRef>
              <c:f>Dashboard!$A$47:$A$56</c:f>
              <c:strCache>
                <c:ptCount val="10"/>
                <c:pt idx="0">
                  <c:v>High-Capacity French Press</c:v>
                </c:pt>
                <c:pt idx="1">
                  <c:v>Precision Electric Grinder</c:v>
                </c:pt>
                <c:pt idx="2">
                  <c:v>Automated Drip Brewer</c:v>
                </c:pt>
                <c:pt idx="3">
                  <c:v>Hand Grinder (Travel Size)</c:v>
                </c:pt>
                <c:pt idx="4">
                  <c:v>Pour-Over Starter Kit</c:v>
                </c:pt>
                <c:pt idx="5">
                  <c:v>Bi-Weekly Sampler Box</c:v>
                </c:pt>
                <c:pt idx="6">
                  <c:v>Subscription Renewal Service</c:v>
                </c:pt>
                <c:pt idx="7">
                  <c:v>Espresso Lovers Quarterly Pack</c:v>
                </c:pt>
                <c:pt idx="8">
                  <c:v>Three-Month Gift Subscription</c:v>
                </c:pt>
                <c:pt idx="9">
                  <c:v>Monthly Dark Roast Subscription</c:v>
                </c:pt>
              </c:strCache>
            </c:strRef>
          </c:cat>
          <c:val>
            <c:numRef>
              <c:f>Dashboard!$E$47:$E$56</c:f>
              <c:numCache>
                <c:formatCode>\$#,##0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C-4C94-81A9-3DDC0515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14</xdr:col>
      <xdr:colOff>0</xdr:colOff>
      <xdr:row>86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71"/>
  <sheetViews>
    <sheetView showGridLines="0" zoomScale="90" zoomScaleNormal="90" workbookViewId="0"/>
  </sheetViews>
  <sheetFormatPr defaultRowHeight="13.5"/>
  <cols>
    <col min="1" max="1" width="36" customWidth="1"/>
    <col min="2" max="5" width="14" customWidth="1"/>
    <col min="6" max="6" width="3" customWidth="1"/>
    <col min="7" max="14" width="12" customWidth="1"/>
  </cols>
  <sheetData>
    <row r="1" spans="1:14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0.65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5" t="s">
        <v>1</v>
      </c>
    </row>
    <row r="5" spans="1:14">
      <c r="A5" s="26" t="s">
        <v>2</v>
      </c>
      <c r="B5" s="26"/>
      <c r="C5" s="27"/>
      <c r="D5" s="26" t="s">
        <v>3</v>
      </c>
      <c r="E5" s="26"/>
      <c r="F5" s="27"/>
      <c r="G5" s="26" t="s">
        <v>4</v>
      </c>
      <c r="H5" s="26"/>
      <c r="I5" s="27"/>
      <c r="J5" s="26" t="s">
        <v>5</v>
      </c>
      <c r="K5" s="26"/>
      <c r="L5" s="27"/>
      <c r="M5" s="28" t="s">
        <v>6</v>
      </c>
      <c r="N5" s="28"/>
    </row>
    <row r="6" spans="1:14" ht="18.75">
      <c r="A6" s="29" t="e">
        <f>SUMIFS(#REF!,#REF!,2025,#REF!,3,#REF!,"Included")</f>
        <v>#REF!</v>
      </c>
      <c r="D6" s="30" t="e">
        <f>SUMIFS(#REF!,#REF!,2025,#REF!,3,#REF!,"Included")/A6</f>
        <v>#REF!</v>
      </c>
      <c r="G6" s="31">
        <f>COUNTIFS('Pricing Actions'!$I$9:$I$20,"&lt;"&amp;'Pricing Actions'!$B$5)</f>
        <v>0</v>
      </c>
      <c r="J6" s="31">
        <f>COUNTIFS('Pricing Actions'!$M$9:$M$20,"&gt;"&amp;'Pricing Actions'!$B$6)</f>
        <v>0</v>
      </c>
      <c r="M6" s="31">
        <v>3</v>
      </c>
    </row>
    <row r="9" spans="1:14" ht="13.9">
      <c r="A9" s="32" t="s">
        <v>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ht="21" customHeight="1">
      <c r="A10" s="33" t="s">
        <v>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14" ht="21" customHeight="1">
      <c r="A11" s="34" t="s">
        <v>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 ht="21" customHeight="1">
      <c r="A12" s="33" t="s">
        <v>10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1:14" ht="21" customHeight="1">
      <c r="A13" s="35" t="s">
        <v>11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5" spans="1:14" ht="13.9">
      <c r="A15" s="32" t="s">
        <v>12</v>
      </c>
      <c r="B15" s="32"/>
      <c r="C15" s="32"/>
      <c r="D15" s="32"/>
      <c r="E15" s="32"/>
    </row>
    <row r="16" spans="1:14">
      <c r="A16" s="36" t="s">
        <v>13</v>
      </c>
      <c r="B16" s="37" t="s">
        <v>14</v>
      </c>
      <c r="C16" s="37" t="s">
        <v>15</v>
      </c>
      <c r="D16" s="37" t="s">
        <v>16</v>
      </c>
      <c r="E16" s="38" t="s">
        <v>17</v>
      </c>
    </row>
    <row r="17" spans="1:5">
      <c r="A17" s="1" t="s">
        <v>18</v>
      </c>
      <c r="B17" s="39" t="e">
        <f>SUMIFS(#REF!,#REF!,2023,#REF!,"&lt;=11",#REF!,"Included")</f>
        <v>#REF!</v>
      </c>
      <c r="C17" s="39" t="e">
        <f>B17-D17</f>
        <v>#REF!</v>
      </c>
      <c r="D17" s="39" t="e">
        <f>SUMIFS(#REF!,#REF!,2023,#REF!,"&lt;=11",#REF!,"Included")</f>
        <v>#REF!</v>
      </c>
      <c r="E17" s="2" t="e">
        <f>D17/B17</f>
        <v>#REF!</v>
      </c>
    </row>
    <row r="18" spans="1:5">
      <c r="A18" s="1" t="s">
        <v>19</v>
      </c>
      <c r="B18" s="39" t="e">
        <f>SUMIFS(#REF!,#REF!,2024,#REF!,"&lt;=11",#REF!,"Included")</f>
        <v>#REF!</v>
      </c>
      <c r="C18" s="39" t="e">
        <f>B18-D18</f>
        <v>#REF!</v>
      </c>
      <c r="D18" s="39" t="e">
        <f>SUMIFS(#REF!,#REF!,2024,#REF!,"&lt;=11",#REF!,"Included")</f>
        <v>#REF!</v>
      </c>
      <c r="E18" s="2" t="e">
        <f>D18/B18</f>
        <v>#REF!</v>
      </c>
    </row>
    <row r="19" spans="1:5">
      <c r="A19" s="1" t="s">
        <v>20</v>
      </c>
      <c r="B19" s="39" t="e">
        <f>SUMIFS(#REF!,#REF!,2025,#REF!,"&lt;=11",#REF!,"Included")</f>
        <v>#REF!</v>
      </c>
      <c r="C19" s="39" t="e">
        <f>B19-D19</f>
        <v>#REF!</v>
      </c>
      <c r="D19" s="39" t="e">
        <f>SUMIFS(#REF!,#REF!,2025,#REF!,"&lt;=11",#REF!,"Included")</f>
        <v>#REF!</v>
      </c>
      <c r="E19" s="2" t="e">
        <f>D19/B19</f>
        <v>#REF!</v>
      </c>
    </row>
    <row r="23" spans="1:5" ht="13.9">
      <c r="A23" s="32" t="s">
        <v>21</v>
      </c>
      <c r="B23" s="32"/>
      <c r="C23" s="32"/>
      <c r="D23" s="32"/>
      <c r="E23" s="32"/>
    </row>
    <row r="24" spans="1:5">
      <c r="A24" s="36" t="s">
        <v>22</v>
      </c>
      <c r="B24" s="37" t="s">
        <v>23</v>
      </c>
      <c r="C24" s="37" t="s">
        <v>24</v>
      </c>
      <c r="D24" s="37" t="s">
        <v>25</v>
      </c>
      <c r="E24" s="38" t="s">
        <v>26</v>
      </c>
    </row>
    <row r="25" spans="1:5">
      <c r="A25" s="11" t="s">
        <v>27</v>
      </c>
      <c r="B25" s="40" t="e">
        <f>SUMIFS(#REF!,#REF!,$A25,#REF!,B$24,#REF!,"Included")</f>
        <v>#REF!</v>
      </c>
      <c r="C25" s="40" t="e">
        <f>SUMIFS(#REF!,#REF!,$A25,#REF!,C$24,#REF!,"Included")</f>
        <v>#REF!</v>
      </c>
      <c r="D25" s="40" t="e">
        <f>SUMIFS(#REF!,#REF!,$A25,#REF!,2025,#REF!,"Included")</f>
        <v>#REF!</v>
      </c>
      <c r="E25" s="40" t="e">
        <f>SUM(B25:D25)</f>
        <v>#REF!</v>
      </c>
    </row>
    <row r="26" spans="1:5">
      <c r="A26" s="16" t="s">
        <v>28</v>
      </c>
      <c r="B26" s="41" t="e">
        <f>SUMIFS(#REF!,#REF!,$A26,#REF!,B$24,#REF!,"Included")</f>
        <v>#REF!</v>
      </c>
      <c r="C26" s="41" t="e">
        <f>SUMIFS(#REF!,#REF!,$A26,#REF!,C$24,#REF!,"Included")</f>
        <v>#REF!</v>
      </c>
      <c r="D26" s="41" t="e">
        <f>SUMIFS(#REF!,#REF!,$A26,#REF!,2025,#REF!,"Included")</f>
        <v>#REF!</v>
      </c>
      <c r="E26" s="41" t="e">
        <f>SUM(B26:D26)</f>
        <v>#REF!</v>
      </c>
    </row>
    <row r="27" spans="1:5">
      <c r="A27" s="16" t="s">
        <v>29</v>
      </c>
      <c r="B27" s="41" t="e">
        <f>SUMIFS(#REF!,#REF!,$A27,#REF!,B$24,#REF!,"Included")</f>
        <v>#REF!</v>
      </c>
      <c r="C27" s="41" t="e">
        <f>SUMIFS(#REF!,#REF!,$A27,#REF!,C$24,#REF!,"Included")</f>
        <v>#REF!</v>
      </c>
      <c r="D27" s="41" t="e">
        <f>SUMIFS(#REF!,#REF!,$A27,#REF!,2025,#REF!,"Included")</f>
        <v>#REF!</v>
      </c>
      <c r="E27" s="41" t="e">
        <f>SUM(B27:D27)</f>
        <v>#REF!</v>
      </c>
    </row>
    <row r="28" spans="1:5">
      <c r="A28" s="16" t="s">
        <v>30</v>
      </c>
      <c r="B28" s="41" t="e">
        <f>SUMIFS(#REF!,#REF!,$A28,#REF!,B$24,#REF!,"Included")</f>
        <v>#REF!</v>
      </c>
      <c r="C28" s="41" t="e">
        <f>SUMIFS(#REF!,#REF!,$A28,#REF!,C$24,#REF!,"Included")</f>
        <v>#REF!</v>
      </c>
      <c r="D28" s="41" t="e">
        <f>SUMIFS(#REF!,#REF!,$A28,#REF!,2025,#REF!,"Included")</f>
        <v>#REF!</v>
      </c>
      <c r="E28" s="41" t="e">
        <f>SUM(B28:D28)</f>
        <v>#REF!</v>
      </c>
    </row>
    <row r="29" spans="1:5">
      <c r="A29" s="21" t="s">
        <v>31</v>
      </c>
      <c r="B29" s="42" t="e">
        <f>SUMIFS(#REF!,#REF!,$A29,#REF!,B$24,#REF!,"Included")</f>
        <v>#REF!</v>
      </c>
      <c r="C29" s="42" t="e">
        <f>SUMIFS(#REF!,#REF!,$A29,#REF!,C$24,#REF!,"Included")</f>
        <v>#REF!</v>
      </c>
      <c r="D29" s="42" t="e">
        <f>SUMIFS(#REF!,#REF!,$A29,#REF!,2025,#REF!,"Included")</f>
        <v>#REF!</v>
      </c>
      <c r="E29" s="42" t="e">
        <f>SUM(B29:D29)</f>
        <v>#REF!</v>
      </c>
    </row>
    <row r="34" spans="1:5" ht="13.9">
      <c r="A34" s="32" t="s">
        <v>32</v>
      </c>
      <c r="B34" s="32"/>
      <c r="C34" s="32"/>
      <c r="D34" s="32"/>
      <c r="E34" s="32"/>
    </row>
    <row r="35" spans="1:5">
      <c r="A35" s="36" t="s">
        <v>33</v>
      </c>
      <c r="B35" s="37" t="s">
        <v>23</v>
      </c>
      <c r="C35" s="37" t="s">
        <v>24</v>
      </c>
      <c r="D35" s="37" t="s">
        <v>25</v>
      </c>
      <c r="E35" s="38" t="s">
        <v>26</v>
      </c>
    </row>
    <row r="36" spans="1:5">
      <c r="A36" s="11" t="s">
        <v>34</v>
      </c>
      <c r="B36" s="40" t="e">
        <f>SUMIFS(#REF!,#REF!,$A36,#REF!,2023,#REF!,"Included")</f>
        <v>#REF!</v>
      </c>
      <c r="C36" s="40" t="e">
        <f>SUMIFS(#REF!,#REF!,$A36,#REF!,2024,#REF!,"Included")</f>
        <v>#REF!</v>
      </c>
      <c r="D36" s="40" t="e">
        <f>SUMIFS(#REF!,#REF!,$A36,#REF!,2025,#REF!,"Included")</f>
        <v>#REF!</v>
      </c>
      <c r="E36" s="40" t="e">
        <f>SUM(B36:D36)</f>
        <v>#REF!</v>
      </c>
    </row>
    <row r="37" spans="1:5">
      <c r="A37" s="16" t="s">
        <v>35</v>
      </c>
      <c r="B37" s="41" t="e">
        <f>SUMIFS(#REF!,#REF!,$A37,#REF!,2023,#REF!,"Included")</f>
        <v>#REF!</v>
      </c>
      <c r="C37" s="41" t="e">
        <f>SUMIFS(#REF!,#REF!,$A37,#REF!,2024,#REF!,"Included")</f>
        <v>#REF!</v>
      </c>
      <c r="D37" s="41" t="e">
        <f>SUMIFS(#REF!,#REF!,$A37,#REF!,2025,#REF!,"Included")</f>
        <v>#REF!</v>
      </c>
      <c r="E37" s="41" t="e">
        <f>SUM(B37:D37)</f>
        <v>#REF!</v>
      </c>
    </row>
    <row r="38" spans="1:5">
      <c r="A38" s="16" t="s">
        <v>36</v>
      </c>
      <c r="B38" s="41" t="e">
        <f>SUMIFS(#REF!,#REF!,$A38,#REF!,2023,#REF!,"Included")</f>
        <v>#REF!</v>
      </c>
      <c r="C38" s="41" t="e">
        <f>SUMIFS(#REF!,#REF!,$A38,#REF!,2024,#REF!,"Included")</f>
        <v>#REF!</v>
      </c>
      <c r="D38" s="41" t="e">
        <f>SUMIFS(#REF!,#REF!,$A38,#REF!,2025,#REF!,"Included")</f>
        <v>#REF!</v>
      </c>
      <c r="E38" s="41" t="e">
        <f>SUM(B38:D38)</f>
        <v>#REF!</v>
      </c>
    </row>
    <row r="39" spans="1:5">
      <c r="A39" s="21" t="s">
        <v>37</v>
      </c>
      <c r="B39" s="42" t="e">
        <f>SUMIFS(#REF!,#REF!,$A39,#REF!,2023,#REF!,"Included")</f>
        <v>#REF!</v>
      </c>
      <c r="C39" s="42" t="e">
        <f>SUMIFS(#REF!,#REF!,$A39,#REF!,2024,#REF!,"Included")</f>
        <v>#REF!</v>
      </c>
      <c r="D39" s="42" t="e">
        <f>SUMIFS(#REF!,#REF!,$A39,#REF!,2025,#REF!,"Included")</f>
        <v>#REF!</v>
      </c>
      <c r="E39" s="42" t="e">
        <f>SUM(B39:D39)</f>
        <v>#REF!</v>
      </c>
    </row>
    <row r="45" spans="1:5" ht="13.9">
      <c r="A45" s="32" t="s">
        <v>38</v>
      </c>
      <c r="B45" s="32"/>
      <c r="C45" s="32"/>
      <c r="D45" s="32"/>
      <c r="E45" s="32"/>
    </row>
    <row r="46" spans="1:5">
      <c r="A46" s="36" t="s">
        <v>39</v>
      </c>
      <c r="B46" s="37" t="s">
        <v>23</v>
      </c>
      <c r="C46" s="37" t="s">
        <v>24</v>
      </c>
      <c r="D46" s="37" t="s">
        <v>25</v>
      </c>
      <c r="E46" s="38" t="s">
        <v>26</v>
      </c>
    </row>
    <row r="47" spans="1:5">
      <c r="A47" s="11" t="s">
        <v>40</v>
      </c>
      <c r="B47" s="40" t="e">
        <f>SUMIFS(#REF!,#REF!,$A47,#REF!,2023,#REF!,"Included")</f>
        <v>#REF!</v>
      </c>
      <c r="C47" s="40" t="e">
        <f>SUMIFS(#REF!,#REF!,$A47,#REF!,2024,#REF!,"Included")</f>
        <v>#REF!</v>
      </c>
      <c r="D47" s="40" t="e">
        <f>SUMIFS(#REF!,#REF!,$A47,#REF!,2025,#REF!,"Included")</f>
        <v>#REF!</v>
      </c>
      <c r="E47" s="40" t="e">
        <f t="shared" ref="E47:E71" si="0">SUM(B47:D47)</f>
        <v>#REF!</v>
      </c>
    </row>
    <row r="48" spans="1:5">
      <c r="A48" s="16" t="s">
        <v>41</v>
      </c>
      <c r="B48" s="41" t="e">
        <f>SUMIFS(#REF!,#REF!,$A48,#REF!,2023,#REF!,"Included")</f>
        <v>#REF!</v>
      </c>
      <c r="C48" s="41" t="e">
        <f>SUMIFS(#REF!,#REF!,$A48,#REF!,2024,#REF!,"Included")</f>
        <v>#REF!</v>
      </c>
      <c r="D48" s="41" t="e">
        <f>SUMIFS(#REF!,#REF!,$A48,#REF!,2025,#REF!,"Included")</f>
        <v>#REF!</v>
      </c>
      <c r="E48" s="41" t="e">
        <f t="shared" si="0"/>
        <v>#REF!</v>
      </c>
    </row>
    <row r="49" spans="1:5">
      <c r="A49" s="16" t="s">
        <v>42</v>
      </c>
      <c r="B49" s="41" t="e">
        <f>SUMIFS(#REF!,#REF!,$A49,#REF!,2023,#REF!,"Included")</f>
        <v>#REF!</v>
      </c>
      <c r="C49" s="41" t="e">
        <f>SUMIFS(#REF!,#REF!,$A49,#REF!,2024,#REF!,"Included")</f>
        <v>#REF!</v>
      </c>
      <c r="D49" s="41" t="e">
        <f>SUMIFS(#REF!,#REF!,$A49,#REF!,2025,#REF!,"Included")</f>
        <v>#REF!</v>
      </c>
      <c r="E49" s="41" t="e">
        <f t="shared" si="0"/>
        <v>#REF!</v>
      </c>
    </row>
    <row r="50" spans="1:5">
      <c r="A50" s="16" t="s">
        <v>43</v>
      </c>
      <c r="B50" s="41" t="e">
        <f>SUMIFS(#REF!,#REF!,$A50,#REF!,2023,#REF!,"Included")</f>
        <v>#REF!</v>
      </c>
      <c r="C50" s="41" t="e">
        <f>SUMIFS(#REF!,#REF!,$A50,#REF!,2024,#REF!,"Included")</f>
        <v>#REF!</v>
      </c>
      <c r="D50" s="41" t="e">
        <f>SUMIFS(#REF!,#REF!,$A50,#REF!,2025,#REF!,"Included")</f>
        <v>#REF!</v>
      </c>
      <c r="E50" s="41" t="e">
        <f t="shared" si="0"/>
        <v>#REF!</v>
      </c>
    </row>
    <row r="51" spans="1:5">
      <c r="A51" s="16" t="s">
        <v>44</v>
      </c>
      <c r="B51" s="41" t="e">
        <f>SUMIFS(#REF!,#REF!,$A51,#REF!,2023,#REF!,"Included")</f>
        <v>#REF!</v>
      </c>
      <c r="C51" s="41" t="e">
        <f>SUMIFS(#REF!,#REF!,$A51,#REF!,2024,#REF!,"Included")</f>
        <v>#REF!</v>
      </c>
      <c r="D51" s="41" t="e">
        <f>SUMIFS(#REF!,#REF!,$A51,#REF!,2025,#REF!,"Included")</f>
        <v>#REF!</v>
      </c>
      <c r="E51" s="41" t="e">
        <f t="shared" si="0"/>
        <v>#REF!</v>
      </c>
    </row>
    <row r="52" spans="1:5">
      <c r="A52" s="16" t="s">
        <v>45</v>
      </c>
      <c r="B52" s="41" t="e">
        <f>SUMIFS(#REF!,#REF!,$A52,#REF!,2023,#REF!,"Included")</f>
        <v>#REF!</v>
      </c>
      <c r="C52" s="41" t="e">
        <f>SUMIFS(#REF!,#REF!,$A52,#REF!,2024,#REF!,"Included")</f>
        <v>#REF!</v>
      </c>
      <c r="D52" s="41" t="e">
        <f>SUMIFS(#REF!,#REF!,$A52,#REF!,2025,#REF!,"Included")</f>
        <v>#REF!</v>
      </c>
      <c r="E52" s="41" t="e">
        <f t="shared" si="0"/>
        <v>#REF!</v>
      </c>
    </row>
    <row r="53" spans="1:5">
      <c r="A53" s="16" t="s">
        <v>46</v>
      </c>
      <c r="B53" s="41" t="e">
        <f>SUMIFS(#REF!,#REF!,$A53,#REF!,2023,#REF!,"Included")</f>
        <v>#REF!</v>
      </c>
      <c r="C53" s="41" t="e">
        <f>SUMIFS(#REF!,#REF!,$A53,#REF!,2024,#REF!,"Included")</f>
        <v>#REF!</v>
      </c>
      <c r="D53" s="41" t="e">
        <f>SUMIFS(#REF!,#REF!,$A53,#REF!,2025,#REF!,"Included")</f>
        <v>#REF!</v>
      </c>
      <c r="E53" s="41" t="e">
        <f t="shared" si="0"/>
        <v>#REF!</v>
      </c>
    </row>
    <row r="54" spans="1:5">
      <c r="A54" s="16" t="s">
        <v>47</v>
      </c>
      <c r="B54" s="41" t="e">
        <f>SUMIFS(#REF!,#REF!,$A54,#REF!,2023,#REF!,"Included")</f>
        <v>#REF!</v>
      </c>
      <c r="C54" s="41" t="e">
        <f>SUMIFS(#REF!,#REF!,$A54,#REF!,2024,#REF!,"Included")</f>
        <v>#REF!</v>
      </c>
      <c r="D54" s="41" t="e">
        <f>SUMIFS(#REF!,#REF!,$A54,#REF!,2025,#REF!,"Included")</f>
        <v>#REF!</v>
      </c>
      <c r="E54" s="41" t="e">
        <f t="shared" si="0"/>
        <v>#REF!</v>
      </c>
    </row>
    <row r="55" spans="1:5">
      <c r="A55" s="16" t="s">
        <v>48</v>
      </c>
      <c r="B55" s="41" t="e">
        <f>SUMIFS(#REF!,#REF!,$A55,#REF!,2023,#REF!,"Included")</f>
        <v>#REF!</v>
      </c>
      <c r="C55" s="41" t="e">
        <f>SUMIFS(#REF!,#REF!,$A55,#REF!,2024,#REF!,"Included")</f>
        <v>#REF!</v>
      </c>
      <c r="D55" s="41" t="e">
        <f>SUMIFS(#REF!,#REF!,$A55,#REF!,2025,#REF!,"Included")</f>
        <v>#REF!</v>
      </c>
      <c r="E55" s="41" t="e">
        <f t="shared" si="0"/>
        <v>#REF!</v>
      </c>
    </row>
    <row r="56" spans="1:5">
      <c r="A56" s="16" t="s">
        <v>49</v>
      </c>
      <c r="B56" s="41" t="e">
        <f>SUMIFS(#REF!,#REF!,$A56,#REF!,2023,#REF!,"Included")</f>
        <v>#REF!</v>
      </c>
      <c r="C56" s="41" t="e">
        <f>SUMIFS(#REF!,#REF!,$A56,#REF!,2024,#REF!,"Included")</f>
        <v>#REF!</v>
      </c>
      <c r="D56" s="41" t="e">
        <f>SUMIFS(#REF!,#REF!,$A56,#REF!,2025,#REF!,"Included")</f>
        <v>#REF!</v>
      </c>
      <c r="E56" s="41" t="e">
        <f t="shared" si="0"/>
        <v>#REF!</v>
      </c>
    </row>
    <row r="57" spans="1:5">
      <c r="A57" s="16" t="s">
        <v>50</v>
      </c>
      <c r="B57" s="41" t="e">
        <f>SUMIFS(#REF!,#REF!,$A57,#REF!,2023,#REF!,"Included")</f>
        <v>#REF!</v>
      </c>
      <c r="C57" s="41" t="e">
        <f>SUMIFS(#REF!,#REF!,$A57,#REF!,2024,#REF!,"Included")</f>
        <v>#REF!</v>
      </c>
      <c r="D57" s="41" t="e">
        <f>SUMIFS(#REF!,#REF!,$A57,#REF!,2025,#REF!,"Included")</f>
        <v>#REF!</v>
      </c>
      <c r="E57" s="41" t="e">
        <f t="shared" si="0"/>
        <v>#REF!</v>
      </c>
    </row>
    <row r="58" spans="1:5">
      <c r="A58" s="16" t="s">
        <v>51</v>
      </c>
      <c r="B58" s="41" t="e">
        <f>SUMIFS(#REF!,#REF!,$A58,#REF!,2023,#REF!,"Included")</f>
        <v>#REF!</v>
      </c>
      <c r="C58" s="41" t="e">
        <f>SUMIFS(#REF!,#REF!,$A58,#REF!,2024,#REF!,"Included")</f>
        <v>#REF!</v>
      </c>
      <c r="D58" s="41" t="e">
        <f>SUMIFS(#REF!,#REF!,$A58,#REF!,2025,#REF!,"Included")</f>
        <v>#REF!</v>
      </c>
      <c r="E58" s="41" t="e">
        <f t="shared" si="0"/>
        <v>#REF!</v>
      </c>
    </row>
    <row r="59" spans="1:5">
      <c r="A59" s="16" t="s">
        <v>52</v>
      </c>
      <c r="B59" s="41" t="e">
        <f>SUMIFS(#REF!,#REF!,$A59,#REF!,2023,#REF!,"Included")</f>
        <v>#REF!</v>
      </c>
      <c r="C59" s="41" t="e">
        <f>SUMIFS(#REF!,#REF!,$A59,#REF!,2024,#REF!,"Included")</f>
        <v>#REF!</v>
      </c>
      <c r="D59" s="41" t="e">
        <f>SUMIFS(#REF!,#REF!,$A59,#REF!,2025,#REF!,"Included")</f>
        <v>#REF!</v>
      </c>
      <c r="E59" s="41" t="e">
        <f t="shared" si="0"/>
        <v>#REF!</v>
      </c>
    </row>
    <row r="60" spans="1:5">
      <c r="A60" s="16" t="s">
        <v>53</v>
      </c>
      <c r="B60" s="41" t="e">
        <f>SUMIFS(#REF!,#REF!,$A60,#REF!,2023,#REF!,"Included")</f>
        <v>#REF!</v>
      </c>
      <c r="C60" s="41" t="e">
        <f>SUMIFS(#REF!,#REF!,$A60,#REF!,2024,#REF!,"Included")</f>
        <v>#REF!</v>
      </c>
      <c r="D60" s="41" t="e">
        <f>SUMIFS(#REF!,#REF!,$A60,#REF!,2025,#REF!,"Included")</f>
        <v>#REF!</v>
      </c>
      <c r="E60" s="41" t="e">
        <f t="shared" si="0"/>
        <v>#REF!</v>
      </c>
    </row>
    <row r="61" spans="1:5">
      <c r="A61" s="16" t="s">
        <v>54</v>
      </c>
      <c r="B61" s="41" t="e">
        <f>SUMIFS(#REF!,#REF!,$A61,#REF!,2023,#REF!,"Included")</f>
        <v>#REF!</v>
      </c>
      <c r="C61" s="41" t="e">
        <f>SUMIFS(#REF!,#REF!,$A61,#REF!,2024,#REF!,"Included")</f>
        <v>#REF!</v>
      </c>
      <c r="D61" s="41" t="e">
        <f>SUMIFS(#REF!,#REF!,$A61,#REF!,2025,#REF!,"Included")</f>
        <v>#REF!</v>
      </c>
      <c r="E61" s="41" t="e">
        <f t="shared" si="0"/>
        <v>#REF!</v>
      </c>
    </row>
    <row r="62" spans="1:5">
      <c r="A62" s="16" t="s">
        <v>55</v>
      </c>
      <c r="B62" s="41" t="e">
        <f>SUMIFS(#REF!,#REF!,$A62,#REF!,2023,#REF!,"Included")</f>
        <v>#REF!</v>
      </c>
      <c r="C62" s="41" t="e">
        <f>SUMIFS(#REF!,#REF!,$A62,#REF!,2024,#REF!,"Included")</f>
        <v>#REF!</v>
      </c>
      <c r="D62" s="41" t="e">
        <f>SUMIFS(#REF!,#REF!,$A62,#REF!,2025,#REF!,"Included")</f>
        <v>#REF!</v>
      </c>
      <c r="E62" s="41" t="e">
        <f t="shared" si="0"/>
        <v>#REF!</v>
      </c>
    </row>
    <row r="63" spans="1:5">
      <c r="A63" s="16" t="s">
        <v>56</v>
      </c>
      <c r="B63" s="41" t="e">
        <f>SUMIFS(#REF!,#REF!,$A63,#REF!,2023,#REF!,"Included")</f>
        <v>#REF!</v>
      </c>
      <c r="C63" s="41" t="e">
        <f>SUMIFS(#REF!,#REF!,$A63,#REF!,2024,#REF!,"Included")</f>
        <v>#REF!</v>
      </c>
      <c r="D63" s="41" t="e">
        <f>SUMIFS(#REF!,#REF!,$A63,#REF!,2025,#REF!,"Included")</f>
        <v>#REF!</v>
      </c>
      <c r="E63" s="41" t="e">
        <f t="shared" si="0"/>
        <v>#REF!</v>
      </c>
    </row>
    <row r="64" spans="1:5">
      <c r="A64" s="16" t="s">
        <v>57</v>
      </c>
      <c r="B64" s="41" t="e">
        <f>SUMIFS(#REF!,#REF!,$A64,#REF!,2023,#REF!,"Included")</f>
        <v>#REF!</v>
      </c>
      <c r="C64" s="41" t="e">
        <f>SUMIFS(#REF!,#REF!,$A64,#REF!,2024,#REF!,"Included")</f>
        <v>#REF!</v>
      </c>
      <c r="D64" s="41" t="e">
        <f>SUMIFS(#REF!,#REF!,$A64,#REF!,2025,#REF!,"Included")</f>
        <v>#REF!</v>
      </c>
      <c r="E64" s="41" t="e">
        <f t="shared" si="0"/>
        <v>#REF!</v>
      </c>
    </row>
    <row r="65" spans="1:5">
      <c r="A65" s="16" t="s">
        <v>58</v>
      </c>
      <c r="B65" s="41" t="e">
        <f>SUMIFS(#REF!,#REF!,$A65,#REF!,2023,#REF!,"Included")</f>
        <v>#REF!</v>
      </c>
      <c r="C65" s="41" t="e">
        <f>SUMIFS(#REF!,#REF!,$A65,#REF!,2024,#REF!,"Included")</f>
        <v>#REF!</v>
      </c>
      <c r="D65" s="41" t="e">
        <f>SUMIFS(#REF!,#REF!,$A65,#REF!,2025,#REF!,"Included")</f>
        <v>#REF!</v>
      </c>
      <c r="E65" s="41" t="e">
        <f t="shared" si="0"/>
        <v>#REF!</v>
      </c>
    </row>
    <row r="66" spans="1:5">
      <c r="A66" s="16" t="s">
        <v>59</v>
      </c>
      <c r="B66" s="41" t="e">
        <f>SUMIFS(#REF!,#REF!,$A66,#REF!,2023,#REF!,"Included")</f>
        <v>#REF!</v>
      </c>
      <c r="C66" s="41" t="e">
        <f>SUMIFS(#REF!,#REF!,$A66,#REF!,2024,#REF!,"Included")</f>
        <v>#REF!</v>
      </c>
      <c r="D66" s="41" t="e">
        <f>SUMIFS(#REF!,#REF!,$A66,#REF!,2025,#REF!,"Included")</f>
        <v>#REF!</v>
      </c>
      <c r="E66" s="41" t="e">
        <f t="shared" si="0"/>
        <v>#REF!</v>
      </c>
    </row>
    <row r="67" spans="1:5">
      <c r="A67" s="16" t="s">
        <v>60</v>
      </c>
      <c r="B67" s="41" t="e">
        <f>SUMIFS(#REF!,#REF!,$A67,#REF!,2023,#REF!,"Included")</f>
        <v>#REF!</v>
      </c>
      <c r="C67" s="41" t="e">
        <f>SUMIFS(#REF!,#REF!,$A67,#REF!,2024,#REF!,"Included")</f>
        <v>#REF!</v>
      </c>
      <c r="D67" s="41" t="e">
        <f>SUMIFS(#REF!,#REF!,$A67,#REF!,2025,#REF!,"Included")</f>
        <v>#REF!</v>
      </c>
      <c r="E67" s="41" t="e">
        <f t="shared" si="0"/>
        <v>#REF!</v>
      </c>
    </row>
    <row r="68" spans="1:5">
      <c r="A68" s="16" t="s">
        <v>61</v>
      </c>
      <c r="B68" s="41" t="e">
        <f>SUMIFS(#REF!,#REF!,$A68,#REF!,2023,#REF!,"Included")</f>
        <v>#REF!</v>
      </c>
      <c r="C68" s="41" t="e">
        <f>SUMIFS(#REF!,#REF!,$A68,#REF!,2024,#REF!,"Included")</f>
        <v>#REF!</v>
      </c>
      <c r="D68" s="41" t="e">
        <f>SUMIFS(#REF!,#REF!,$A68,#REF!,2025,#REF!,"Included")</f>
        <v>#REF!</v>
      </c>
      <c r="E68" s="41" t="e">
        <f t="shared" si="0"/>
        <v>#REF!</v>
      </c>
    </row>
    <row r="69" spans="1:5">
      <c r="A69" s="16" t="s">
        <v>62</v>
      </c>
      <c r="B69" s="41" t="e">
        <f>SUMIFS(#REF!,#REF!,$A69,#REF!,2023,#REF!,"Included")</f>
        <v>#REF!</v>
      </c>
      <c r="C69" s="41" t="e">
        <f>SUMIFS(#REF!,#REF!,$A69,#REF!,2024,#REF!,"Included")</f>
        <v>#REF!</v>
      </c>
      <c r="D69" s="41" t="e">
        <f>SUMIFS(#REF!,#REF!,$A69,#REF!,2025,#REF!,"Included")</f>
        <v>#REF!</v>
      </c>
      <c r="E69" s="41" t="e">
        <f t="shared" si="0"/>
        <v>#REF!</v>
      </c>
    </row>
    <row r="70" spans="1:5">
      <c r="A70" s="16" t="s">
        <v>63</v>
      </c>
      <c r="B70" s="41" t="e">
        <f>SUMIFS(#REF!,#REF!,$A70,#REF!,2023,#REF!,"Included")</f>
        <v>#REF!</v>
      </c>
      <c r="C70" s="41" t="e">
        <f>SUMIFS(#REF!,#REF!,$A70,#REF!,2024,#REF!,"Included")</f>
        <v>#REF!</v>
      </c>
      <c r="D70" s="41" t="e">
        <f>SUMIFS(#REF!,#REF!,$A70,#REF!,2025,#REF!,"Included")</f>
        <v>#REF!</v>
      </c>
      <c r="E70" s="41" t="e">
        <f t="shared" si="0"/>
        <v>#REF!</v>
      </c>
    </row>
    <row r="71" spans="1:5">
      <c r="A71" s="21" t="s">
        <v>64</v>
      </c>
      <c r="B71" s="42" t="e">
        <f>SUMIFS(#REF!,#REF!,$A71,#REF!,2023,#REF!,"Included")</f>
        <v>#REF!</v>
      </c>
      <c r="C71" s="42" t="e">
        <f>SUMIFS(#REF!,#REF!,$A71,#REF!,2024,#REF!,"Included")</f>
        <v>#REF!</v>
      </c>
      <c r="D71" s="42" t="e">
        <f>SUMIFS(#REF!,#REF!,$A71,#REF!,2025,#REF!,"Included")</f>
        <v>#REF!</v>
      </c>
      <c r="E71" s="42" t="e">
        <f t="shared" si="0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2:P20"/>
  <sheetViews>
    <sheetView showGridLines="0" tabSelected="1" workbookViewId="0">
      <pane xSplit="3" ySplit="8" topLeftCell="K9" activePane="bottomRight" state="frozen"/>
      <selection pane="topRight"/>
      <selection pane="bottomLeft"/>
      <selection pane="bottomRight" activeCell="D9" sqref="D9"/>
    </sheetView>
  </sheetViews>
  <sheetFormatPr defaultRowHeight="13.5"/>
  <cols>
    <col min="1" max="1" width="20" customWidth="1"/>
    <col min="2" max="2" width="34" customWidth="1"/>
    <col min="3" max="3" width="22" customWidth="1"/>
    <col min="4" max="5" width="10" customWidth="1"/>
    <col min="6" max="8" width="14" customWidth="1"/>
    <col min="9" max="9" width="13" customWidth="1"/>
    <col min="10" max="15" width="16" customWidth="1"/>
    <col min="16" max="16" width="34" customWidth="1"/>
  </cols>
  <sheetData>
    <row r="2" spans="1:16" ht="20.65">
      <c r="A2" s="4" t="s">
        <v>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5" t="s">
        <v>66</v>
      </c>
    </row>
    <row r="5" spans="1:16" ht="13.9">
      <c r="A5" s="6" t="s">
        <v>67</v>
      </c>
      <c r="B5" s="7">
        <v>0.3</v>
      </c>
    </row>
    <row r="6" spans="1:16" ht="13.9">
      <c r="A6" s="6" t="s">
        <v>68</v>
      </c>
      <c r="B6" s="7">
        <v>0.1</v>
      </c>
    </row>
    <row r="8" spans="1:16" ht="38" customHeight="1">
      <c r="A8" s="8" t="s">
        <v>69</v>
      </c>
      <c r="B8" s="9" t="s">
        <v>39</v>
      </c>
      <c r="C8" s="9" t="s">
        <v>22</v>
      </c>
      <c r="D8" s="9" t="s">
        <v>70</v>
      </c>
      <c r="E8" s="9" t="s">
        <v>71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72</v>
      </c>
      <c r="K8" s="9" t="s">
        <v>73</v>
      </c>
      <c r="L8" s="9" t="s">
        <v>74</v>
      </c>
      <c r="M8" s="9" t="s">
        <v>75</v>
      </c>
      <c r="N8" s="9" t="s">
        <v>76</v>
      </c>
      <c r="O8" s="9" t="s">
        <v>77</v>
      </c>
      <c r="P8" s="10" t="s">
        <v>78</v>
      </c>
    </row>
    <row r="9" spans="1:16">
      <c r="A9" s="11" t="s">
        <v>79</v>
      </c>
      <c r="B9" s="11" t="s">
        <v>56</v>
      </c>
      <c r="C9" s="11" t="s">
        <v>30</v>
      </c>
      <c r="D9" s="12" t="e">
        <f>COUNTIFS(#REF!,$A9,#REF!,2025,#REF!,3,#REF!,"Included")</f>
        <v>#REF!</v>
      </c>
      <c r="E9" s="12" t="e">
        <f>SUMIFS(#REF!,#REF!,$A9,#REF!,2025,#REF!,3,#REF!,"Included")</f>
        <v>#REF!</v>
      </c>
      <c r="F9" s="13" t="e">
        <f>SUMIFS(#REF!,#REF!,$A9,#REF!,2025,#REF!,3,#REF!,"Included")</f>
        <v>#REF!</v>
      </c>
      <c r="G9" s="13" t="e">
        <f>SUMIFS(#REF!,#REF!,$A9,#REF!,2025,#REF!,3,#REF!,"Included")</f>
        <v>#REF!</v>
      </c>
      <c r="H9" s="13" t="e">
        <f t="shared" ref="H9:H20" si="0">F9-G9</f>
        <v>#REF!</v>
      </c>
      <c r="I9" s="14" t="e">
        <f t="shared" ref="I9:I20" si="1">H9/F9</f>
        <v>#REF!</v>
      </c>
      <c r="J9" s="15">
        <v>27.37</v>
      </c>
      <c r="K9" s="15" t="e">
        <f t="shared" ref="K9:K20" si="2">G9/E9</f>
        <v>#REF!</v>
      </c>
      <c r="L9" s="15" t="e">
        <f t="shared" ref="L9:L20" si="3">CEILING(K9/(1-$B$5),0.01)</f>
        <v>#REF!</v>
      </c>
      <c r="M9" s="14" t="e">
        <f t="shared" ref="M9:M20" si="4">L9/J9-1</f>
        <v>#REF!</v>
      </c>
      <c r="N9" s="15">
        <f t="shared" ref="N9:N20" si="5">J9*(1+$B$6)</f>
        <v>30.107000000000003</v>
      </c>
      <c r="O9" s="14" t="e">
        <f t="shared" ref="O9:O20" si="6">MAX(0,1-(N9*(1-$B$5)/K9))</f>
        <v>#REF!</v>
      </c>
      <c r="P9" s="11" t="e">
        <f t="shared" ref="P9:P20" si="7">IF(M9&lt;=$B$6,"Raise price to minimum target","Renegotiate cost or discontinue")</f>
        <v>#REF!</v>
      </c>
    </row>
    <row r="10" spans="1:16">
      <c r="A10" s="16" t="s">
        <v>80</v>
      </c>
      <c r="B10" s="16" t="s">
        <v>56</v>
      </c>
      <c r="C10" s="16" t="s">
        <v>30</v>
      </c>
      <c r="D10" s="17" t="e">
        <f>COUNTIFS(#REF!,$A10,#REF!,2025,#REF!,3,#REF!,"Included")</f>
        <v>#REF!</v>
      </c>
      <c r="E10" s="17" t="e">
        <f>SUMIFS(#REF!,#REF!,$A10,#REF!,2025,#REF!,3,#REF!,"Included")</f>
        <v>#REF!</v>
      </c>
      <c r="F10" s="18" t="e">
        <f>SUMIFS(#REF!,#REF!,$A10,#REF!,2025,#REF!,3,#REF!,"Included")</f>
        <v>#REF!</v>
      </c>
      <c r="G10" s="18" t="e">
        <f>SUMIFS(#REF!,#REF!,$A10,#REF!,2025,#REF!,3,#REF!,"Included")</f>
        <v>#REF!</v>
      </c>
      <c r="H10" s="18" t="e">
        <f t="shared" si="0"/>
        <v>#REF!</v>
      </c>
      <c r="I10" s="19" t="e">
        <f t="shared" si="1"/>
        <v>#REF!</v>
      </c>
      <c r="J10" s="20">
        <v>27.37</v>
      </c>
      <c r="K10" s="20" t="e">
        <f t="shared" si="2"/>
        <v>#REF!</v>
      </c>
      <c r="L10" s="20" t="e">
        <f t="shared" si="3"/>
        <v>#REF!</v>
      </c>
      <c r="M10" s="19" t="e">
        <f t="shared" si="4"/>
        <v>#REF!</v>
      </c>
      <c r="N10" s="20">
        <f t="shared" si="5"/>
        <v>30.107000000000003</v>
      </c>
      <c r="O10" s="19" t="e">
        <f t="shared" si="6"/>
        <v>#REF!</v>
      </c>
      <c r="P10" s="16" t="e">
        <f t="shared" si="7"/>
        <v>#REF!</v>
      </c>
    </row>
    <row r="11" spans="1:16">
      <c r="A11" s="16" t="s">
        <v>81</v>
      </c>
      <c r="B11" s="16" t="s">
        <v>64</v>
      </c>
      <c r="C11" s="16" t="s">
        <v>30</v>
      </c>
      <c r="D11" s="17" t="e">
        <f>COUNTIFS(#REF!,$A11,#REF!,2025,#REF!,3,#REF!,"Included")</f>
        <v>#REF!</v>
      </c>
      <c r="E11" s="17" t="e">
        <f>SUMIFS(#REF!,#REF!,$A11,#REF!,2025,#REF!,3,#REF!,"Included")</f>
        <v>#REF!</v>
      </c>
      <c r="F11" s="18" t="e">
        <f>SUMIFS(#REF!,#REF!,$A11,#REF!,2025,#REF!,3,#REF!,"Included")</f>
        <v>#REF!</v>
      </c>
      <c r="G11" s="18" t="e">
        <f>SUMIFS(#REF!,#REF!,$A11,#REF!,2025,#REF!,3,#REF!,"Included")</f>
        <v>#REF!</v>
      </c>
      <c r="H11" s="18" t="e">
        <f t="shared" si="0"/>
        <v>#REF!</v>
      </c>
      <c r="I11" s="19" t="e">
        <f t="shared" si="1"/>
        <v>#REF!</v>
      </c>
      <c r="J11" s="20">
        <v>15.23</v>
      </c>
      <c r="K11" s="20" t="e">
        <f t="shared" si="2"/>
        <v>#REF!</v>
      </c>
      <c r="L11" s="20" t="e">
        <f t="shared" si="3"/>
        <v>#REF!</v>
      </c>
      <c r="M11" s="19" t="e">
        <f t="shared" si="4"/>
        <v>#REF!</v>
      </c>
      <c r="N11" s="20">
        <f t="shared" si="5"/>
        <v>16.753</v>
      </c>
      <c r="O11" s="19" t="e">
        <f t="shared" si="6"/>
        <v>#REF!</v>
      </c>
      <c r="P11" s="16" t="e">
        <f t="shared" si="7"/>
        <v>#REF!</v>
      </c>
    </row>
    <row r="12" spans="1:16">
      <c r="A12" s="16" t="s">
        <v>82</v>
      </c>
      <c r="B12" s="16" t="s">
        <v>57</v>
      </c>
      <c r="C12" s="16" t="s">
        <v>27</v>
      </c>
      <c r="D12" s="17" t="e">
        <f>COUNTIFS(#REF!,$A12,#REF!,2025,#REF!,3,#REF!,"Included")</f>
        <v>#REF!</v>
      </c>
      <c r="E12" s="17" t="e">
        <f>SUMIFS(#REF!,#REF!,$A12,#REF!,2025,#REF!,3,#REF!,"Included")</f>
        <v>#REF!</v>
      </c>
      <c r="F12" s="18" t="e">
        <f>SUMIFS(#REF!,#REF!,$A12,#REF!,2025,#REF!,3,#REF!,"Included")</f>
        <v>#REF!</v>
      </c>
      <c r="G12" s="18" t="e">
        <f>SUMIFS(#REF!,#REF!,$A12,#REF!,2025,#REF!,3,#REF!,"Included")</f>
        <v>#REF!</v>
      </c>
      <c r="H12" s="18" t="e">
        <f t="shared" si="0"/>
        <v>#REF!</v>
      </c>
      <c r="I12" s="19" t="e">
        <f t="shared" si="1"/>
        <v>#REF!</v>
      </c>
      <c r="J12" s="20">
        <v>24.1</v>
      </c>
      <c r="K12" s="20" t="e">
        <f t="shared" si="2"/>
        <v>#REF!</v>
      </c>
      <c r="L12" s="20" t="e">
        <f t="shared" si="3"/>
        <v>#REF!</v>
      </c>
      <c r="M12" s="19" t="e">
        <f t="shared" si="4"/>
        <v>#REF!</v>
      </c>
      <c r="N12" s="20">
        <f t="shared" si="5"/>
        <v>26.510000000000005</v>
      </c>
      <c r="O12" s="19" t="e">
        <f t="shared" si="6"/>
        <v>#REF!</v>
      </c>
      <c r="P12" s="16" t="e">
        <f t="shared" si="7"/>
        <v>#REF!</v>
      </c>
    </row>
    <row r="13" spans="1:16">
      <c r="A13" s="16" t="s">
        <v>83</v>
      </c>
      <c r="B13" s="16" t="s">
        <v>57</v>
      </c>
      <c r="C13" s="16" t="s">
        <v>27</v>
      </c>
      <c r="D13" s="17" t="e">
        <f>COUNTIFS(#REF!,$A13,#REF!,2025,#REF!,3,#REF!,"Included")</f>
        <v>#REF!</v>
      </c>
      <c r="E13" s="17" t="e">
        <f>SUMIFS(#REF!,#REF!,$A13,#REF!,2025,#REF!,3,#REF!,"Included")</f>
        <v>#REF!</v>
      </c>
      <c r="F13" s="18" t="e">
        <f>SUMIFS(#REF!,#REF!,$A13,#REF!,2025,#REF!,3,#REF!,"Included")</f>
        <v>#REF!</v>
      </c>
      <c r="G13" s="18" t="e">
        <f>SUMIFS(#REF!,#REF!,$A13,#REF!,2025,#REF!,3,#REF!,"Included")</f>
        <v>#REF!</v>
      </c>
      <c r="H13" s="18" t="e">
        <f t="shared" si="0"/>
        <v>#REF!</v>
      </c>
      <c r="I13" s="19" t="e">
        <f t="shared" si="1"/>
        <v>#REF!</v>
      </c>
      <c r="J13" s="20">
        <v>24.1</v>
      </c>
      <c r="K13" s="20" t="e">
        <f t="shared" si="2"/>
        <v>#REF!</v>
      </c>
      <c r="L13" s="20" t="e">
        <f t="shared" si="3"/>
        <v>#REF!</v>
      </c>
      <c r="M13" s="19" t="e">
        <f t="shared" si="4"/>
        <v>#REF!</v>
      </c>
      <c r="N13" s="20">
        <f t="shared" si="5"/>
        <v>26.510000000000005</v>
      </c>
      <c r="O13" s="19" t="e">
        <f t="shared" si="6"/>
        <v>#REF!</v>
      </c>
      <c r="P13" s="16" t="e">
        <f t="shared" si="7"/>
        <v>#REF!</v>
      </c>
    </row>
    <row r="14" spans="1:16">
      <c r="A14" s="16" t="s">
        <v>84</v>
      </c>
      <c r="B14" s="16" t="s">
        <v>64</v>
      </c>
      <c r="C14" s="16" t="s">
        <v>30</v>
      </c>
      <c r="D14" s="17" t="e">
        <f>COUNTIFS(#REF!,$A14,#REF!,2025,#REF!,3,#REF!,"Included")</f>
        <v>#REF!</v>
      </c>
      <c r="E14" s="17" t="e">
        <f>SUMIFS(#REF!,#REF!,$A14,#REF!,2025,#REF!,3,#REF!,"Included")</f>
        <v>#REF!</v>
      </c>
      <c r="F14" s="18" t="e">
        <f>SUMIFS(#REF!,#REF!,$A14,#REF!,2025,#REF!,3,#REF!,"Included")</f>
        <v>#REF!</v>
      </c>
      <c r="G14" s="18" t="e">
        <f>SUMIFS(#REF!,#REF!,$A14,#REF!,2025,#REF!,3,#REF!,"Included")</f>
        <v>#REF!</v>
      </c>
      <c r="H14" s="18" t="e">
        <f t="shared" si="0"/>
        <v>#REF!</v>
      </c>
      <c r="I14" s="19" t="e">
        <f t="shared" si="1"/>
        <v>#REF!</v>
      </c>
      <c r="J14" s="20">
        <v>15.23</v>
      </c>
      <c r="K14" s="20" t="e">
        <f t="shared" si="2"/>
        <v>#REF!</v>
      </c>
      <c r="L14" s="20" t="e">
        <f t="shared" si="3"/>
        <v>#REF!</v>
      </c>
      <c r="M14" s="19" t="e">
        <f t="shared" si="4"/>
        <v>#REF!</v>
      </c>
      <c r="N14" s="20">
        <f t="shared" si="5"/>
        <v>16.753</v>
      </c>
      <c r="O14" s="19" t="e">
        <f t="shared" si="6"/>
        <v>#REF!</v>
      </c>
      <c r="P14" s="16" t="e">
        <f t="shared" si="7"/>
        <v>#REF!</v>
      </c>
    </row>
    <row r="15" spans="1:16">
      <c r="A15" s="16" t="s">
        <v>85</v>
      </c>
      <c r="B15" s="16" t="s">
        <v>54</v>
      </c>
      <c r="C15" s="16" t="s">
        <v>27</v>
      </c>
      <c r="D15" s="17" t="e">
        <f>COUNTIFS(#REF!,$A15,#REF!,2025,#REF!,3,#REF!,"Included")</f>
        <v>#REF!</v>
      </c>
      <c r="E15" s="17" t="e">
        <f>SUMIFS(#REF!,#REF!,$A15,#REF!,2025,#REF!,3,#REF!,"Included")</f>
        <v>#REF!</v>
      </c>
      <c r="F15" s="18" t="e">
        <f>SUMIFS(#REF!,#REF!,$A15,#REF!,2025,#REF!,3,#REF!,"Included")</f>
        <v>#REF!</v>
      </c>
      <c r="G15" s="18" t="e">
        <f>SUMIFS(#REF!,#REF!,$A15,#REF!,2025,#REF!,3,#REF!,"Included")</f>
        <v>#REF!</v>
      </c>
      <c r="H15" s="18" t="e">
        <f t="shared" si="0"/>
        <v>#REF!</v>
      </c>
      <c r="I15" s="19" t="e">
        <f t="shared" si="1"/>
        <v>#REF!</v>
      </c>
      <c r="J15" s="20">
        <v>34.869999999999997</v>
      </c>
      <c r="K15" s="20" t="e">
        <f t="shared" si="2"/>
        <v>#REF!</v>
      </c>
      <c r="L15" s="20" t="e">
        <f t="shared" si="3"/>
        <v>#REF!</v>
      </c>
      <c r="M15" s="19" t="e">
        <f t="shared" si="4"/>
        <v>#REF!</v>
      </c>
      <c r="N15" s="20">
        <f t="shared" si="5"/>
        <v>38.356999999999999</v>
      </c>
      <c r="O15" s="19" t="e">
        <f t="shared" si="6"/>
        <v>#REF!</v>
      </c>
      <c r="P15" s="16" t="e">
        <f t="shared" si="7"/>
        <v>#REF!</v>
      </c>
    </row>
    <row r="16" spans="1:16">
      <c r="A16" s="16" t="s">
        <v>86</v>
      </c>
      <c r="B16" s="16" t="s">
        <v>54</v>
      </c>
      <c r="C16" s="16" t="s">
        <v>27</v>
      </c>
      <c r="D16" s="17" t="e">
        <f>COUNTIFS(#REF!,$A16,#REF!,2025,#REF!,3,#REF!,"Included")</f>
        <v>#REF!</v>
      </c>
      <c r="E16" s="17" t="e">
        <f>SUMIFS(#REF!,#REF!,$A16,#REF!,2025,#REF!,3,#REF!,"Included")</f>
        <v>#REF!</v>
      </c>
      <c r="F16" s="18" t="e">
        <f>SUMIFS(#REF!,#REF!,$A16,#REF!,2025,#REF!,3,#REF!,"Included")</f>
        <v>#REF!</v>
      </c>
      <c r="G16" s="18" t="e">
        <f>SUMIFS(#REF!,#REF!,$A16,#REF!,2025,#REF!,3,#REF!,"Included")</f>
        <v>#REF!</v>
      </c>
      <c r="H16" s="18" t="e">
        <f t="shared" si="0"/>
        <v>#REF!</v>
      </c>
      <c r="I16" s="19" t="e">
        <f t="shared" si="1"/>
        <v>#REF!</v>
      </c>
      <c r="J16" s="20">
        <v>34.869999999999997</v>
      </c>
      <c r="K16" s="20" t="e">
        <f t="shared" si="2"/>
        <v>#REF!</v>
      </c>
      <c r="L16" s="20" t="e">
        <f t="shared" si="3"/>
        <v>#REF!</v>
      </c>
      <c r="M16" s="19" t="e">
        <f t="shared" si="4"/>
        <v>#REF!</v>
      </c>
      <c r="N16" s="20">
        <f t="shared" si="5"/>
        <v>38.356999999999999</v>
      </c>
      <c r="O16" s="19" t="e">
        <f t="shared" si="6"/>
        <v>#REF!</v>
      </c>
      <c r="P16" s="16" t="e">
        <f t="shared" si="7"/>
        <v>#REF!</v>
      </c>
    </row>
    <row r="17" spans="1:16">
      <c r="A17" s="16" t="s">
        <v>87</v>
      </c>
      <c r="B17" s="16" t="s">
        <v>51</v>
      </c>
      <c r="C17" s="16" t="s">
        <v>30</v>
      </c>
      <c r="D17" s="17" t="e">
        <f>COUNTIFS(#REF!,$A17,#REF!,2025,#REF!,3,#REF!,"Included")</f>
        <v>#REF!</v>
      </c>
      <c r="E17" s="17" t="e">
        <f>SUMIFS(#REF!,#REF!,$A17,#REF!,2025,#REF!,3,#REF!,"Included")</f>
        <v>#REF!</v>
      </c>
      <c r="F17" s="18" t="e">
        <f>SUMIFS(#REF!,#REF!,$A17,#REF!,2025,#REF!,3,#REF!,"Included")</f>
        <v>#REF!</v>
      </c>
      <c r="G17" s="18" t="e">
        <f>SUMIFS(#REF!,#REF!,$A17,#REF!,2025,#REF!,3,#REF!,"Included")</f>
        <v>#REF!</v>
      </c>
      <c r="H17" s="18" t="e">
        <f t="shared" si="0"/>
        <v>#REF!</v>
      </c>
      <c r="I17" s="19" t="e">
        <f t="shared" si="1"/>
        <v>#REF!</v>
      </c>
      <c r="J17" s="20">
        <v>43.2</v>
      </c>
      <c r="K17" s="20" t="e">
        <f t="shared" si="2"/>
        <v>#REF!</v>
      </c>
      <c r="L17" s="20" t="e">
        <f t="shared" si="3"/>
        <v>#REF!</v>
      </c>
      <c r="M17" s="19" t="e">
        <f t="shared" si="4"/>
        <v>#REF!</v>
      </c>
      <c r="N17" s="20">
        <f t="shared" si="5"/>
        <v>47.52000000000001</v>
      </c>
      <c r="O17" s="19" t="e">
        <f t="shared" si="6"/>
        <v>#REF!</v>
      </c>
      <c r="P17" s="16" t="e">
        <f t="shared" si="7"/>
        <v>#REF!</v>
      </c>
    </row>
    <row r="18" spans="1:16">
      <c r="A18" s="16" t="s">
        <v>88</v>
      </c>
      <c r="B18" s="16" t="s">
        <v>51</v>
      </c>
      <c r="C18" s="16" t="s">
        <v>30</v>
      </c>
      <c r="D18" s="17" t="e">
        <f>COUNTIFS(#REF!,$A18,#REF!,2025,#REF!,3,#REF!,"Included")</f>
        <v>#REF!</v>
      </c>
      <c r="E18" s="17" t="e">
        <f>SUMIFS(#REF!,#REF!,$A18,#REF!,2025,#REF!,3,#REF!,"Included")</f>
        <v>#REF!</v>
      </c>
      <c r="F18" s="18" t="e">
        <f>SUMIFS(#REF!,#REF!,$A18,#REF!,2025,#REF!,3,#REF!,"Included")</f>
        <v>#REF!</v>
      </c>
      <c r="G18" s="18" t="e">
        <f>SUMIFS(#REF!,#REF!,$A18,#REF!,2025,#REF!,3,#REF!,"Included")</f>
        <v>#REF!</v>
      </c>
      <c r="H18" s="18" t="e">
        <f t="shared" si="0"/>
        <v>#REF!</v>
      </c>
      <c r="I18" s="19" t="e">
        <f t="shared" si="1"/>
        <v>#REF!</v>
      </c>
      <c r="J18" s="20">
        <v>43.2</v>
      </c>
      <c r="K18" s="20" t="e">
        <f t="shared" si="2"/>
        <v>#REF!</v>
      </c>
      <c r="L18" s="20" t="e">
        <f t="shared" si="3"/>
        <v>#REF!</v>
      </c>
      <c r="M18" s="19" t="e">
        <f t="shared" si="4"/>
        <v>#REF!</v>
      </c>
      <c r="N18" s="20">
        <f t="shared" si="5"/>
        <v>47.52000000000001</v>
      </c>
      <c r="O18" s="19" t="e">
        <f t="shared" si="6"/>
        <v>#REF!</v>
      </c>
      <c r="P18" s="16" t="e">
        <f t="shared" si="7"/>
        <v>#REF!</v>
      </c>
    </row>
    <row r="19" spans="1:16">
      <c r="A19" s="16" t="s">
        <v>89</v>
      </c>
      <c r="B19" s="16" t="s">
        <v>44</v>
      </c>
      <c r="C19" s="16" t="s">
        <v>29</v>
      </c>
      <c r="D19" s="17" t="e">
        <f>COUNTIFS(#REF!,$A19,#REF!,2025,#REF!,3,#REF!,"Included")</f>
        <v>#REF!</v>
      </c>
      <c r="E19" s="17" t="e">
        <f>SUMIFS(#REF!,#REF!,$A19,#REF!,2025,#REF!,3,#REF!,"Included")</f>
        <v>#REF!</v>
      </c>
      <c r="F19" s="18" t="e">
        <f>SUMIFS(#REF!,#REF!,$A19,#REF!,2025,#REF!,3,#REF!,"Included")</f>
        <v>#REF!</v>
      </c>
      <c r="G19" s="18" t="e">
        <f>SUMIFS(#REF!,#REF!,$A19,#REF!,2025,#REF!,3,#REF!,"Included")</f>
        <v>#REF!</v>
      </c>
      <c r="H19" s="18" t="e">
        <f t="shared" si="0"/>
        <v>#REF!</v>
      </c>
      <c r="I19" s="19" t="e">
        <f t="shared" si="1"/>
        <v>#REF!</v>
      </c>
      <c r="J19" s="20">
        <v>105.23</v>
      </c>
      <c r="K19" s="20" t="e">
        <f t="shared" si="2"/>
        <v>#REF!</v>
      </c>
      <c r="L19" s="20" t="e">
        <f t="shared" si="3"/>
        <v>#REF!</v>
      </c>
      <c r="M19" s="19" t="e">
        <f t="shared" si="4"/>
        <v>#REF!</v>
      </c>
      <c r="N19" s="20">
        <f t="shared" si="5"/>
        <v>115.75300000000001</v>
      </c>
      <c r="O19" s="19" t="e">
        <f t="shared" si="6"/>
        <v>#REF!</v>
      </c>
      <c r="P19" s="16" t="e">
        <f t="shared" si="7"/>
        <v>#REF!</v>
      </c>
    </row>
    <row r="20" spans="1:16">
      <c r="A20" s="21" t="s">
        <v>90</v>
      </c>
      <c r="B20" s="21" t="s">
        <v>44</v>
      </c>
      <c r="C20" s="21" t="s">
        <v>29</v>
      </c>
      <c r="D20" s="22" t="e">
        <f>COUNTIFS(#REF!,$A20,#REF!,2025,#REF!,3,#REF!,"Included")</f>
        <v>#REF!</v>
      </c>
      <c r="E20" s="22" t="e">
        <f>SUMIFS(#REF!,#REF!,$A20,#REF!,2025,#REF!,3,#REF!,"Included")</f>
        <v>#REF!</v>
      </c>
      <c r="F20" s="23" t="e">
        <f>SUMIFS(#REF!,#REF!,$A20,#REF!,2025,#REF!,3,#REF!,"Included")</f>
        <v>#REF!</v>
      </c>
      <c r="G20" s="23" t="e">
        <f>SUMIFS(#REF!,#REF!,$A20,#REF!,2025,#REF!,3,#REF!,"Included")</f>
        <v>#REF!</v>
      </c>
      <c r="H20" s="23" t="e">
        <f t="shared" si="0"/>
        <v>#REF!</v>
      </c>
      <c r="I20" s="24" t="e">
        <f t="shared" si="1"/>
        <v>#REF!</v>
      </c>
      <c r="J20" s="25">
        <v>105.23</v>
      </c>
      <c r="K20" s="25" t="e">
        <f t="shared" si="2"/>
        <v>#REF!</v>
      </c>
      <c r="L20" s="25" t="e">
        <f t="shared" si="3"/>
        <v>#REF!</v>
      </c>
      <c r="M20" s="24" t="e">
        <f t="shared" si="4"/>
        <v>#REF!</v>
      </c>
      <c r="N20" s="25">
        <f t="shared" si="5"/>
        <v>115.75300000000001</v>
      </c>
      <c r="O20" s="24" t="e">
        <f t="shared" si="6"/>
        <v>#REF!</v>
      </c>
      <c r="P20" s="21" t="e">
        <f t="shared" si="7"/>
        <v>#REF!</v>
      </c>
    </row>
  </sheetData>
  <conditionalFormatting sqref="I9:I20">
    <cfRule type="cellIs" dxfId="2" priority="1" operator="lessThan">
      <formula>0.3</formula>
    </cfRule>
  </conditionalFormatting>
  <conditionalFormatting sqref="M9:M20">
    <cfRule type="cellIs" dxfId="1" priority="2" operator="greaterThan">
      <formula>0.1</formula>
    </cfRule>
  </conditionalFormatting>
  <conditionalFormatting sqref="P9:P20">
    <cfRule type="containsText" dxfId="0" priority="3" operator="containsText" text="discontinue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Pricing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Hao, Bokun</cp:lastModifiedBy>
  <dcterms:modified xsi:type="dcterms:W3CDTF">2026-10-11T16:10:08Z</dcterms:modified>
</cp:coreProperties>
</file>